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etha\Downloads\"/>
    </mc:Choice>
  </mc:AlternateContent>
  <xr:revisionPtr revIDLastSave="0" documentId="13_ncr:1_{9846AED0-22D5-49F8-AFED-7C0C5F45BFA8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Đánh giá" sheetId="5" r:id="rId1"/>
    <sheet name="DS Nhom" sheetId="7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8" i="5" l="1"/>
</calcChain>
</file>

<file path=xl/sharedStrings.xml><?xml version="1.0" encoding="utf-8"?>
<sst xmlns="http://schemas.openxmlformats.org/spreadsheetml/2006/main" count="343" uniqueCount="255">
  <si>
    <t>ĐÁNH GIÁ THÀNH VIÊN TRONG NHÓM</t>
  </si>
  <si>
    <t>360 độ Review</t>
  </si>
  <si>
    <t>Lớp</t>
  </si>
  <si>
    <t>Khóa học</t>
  </si>
  <si>
    <t>Team</t>
  </si>
  <si>
    <t>Assignment</t>
  </si>
  <si>
    <t>Bài tập nhóm</t>
  </si>
  <si>
    <t>Người đánh giá</t>
  </si>
  <si>
    <t>Đánh giá các thành viên trong nhóm (gồm cả thành viên đánh giá)</t>
  </si>
  <si>
    <t>#</t>
  </si>
  <si>
    <t>Mã SV</t>
  </si>
  <si>
    <t>Họ và tên</t>
  </si>
  <si>
    <t>Khối lượng công việc được giao</t>
  </si>
  <si>
    <t>Hoàn thành công việc được giao</t>
  </si>
  <si>
    <t>Đóng góp cho nhóm</t>
  </si>
  <si>
    <t>Số buổi tham gia họp và làm việc cùng nhóm</t>
  </si>
  <si>
    <t>Ghi chú</t>
  </si>
  <si>
    <t>%</t>
  </si>
  <si>
    <t>0-10</t>
  </si>
  <si>
    <t>Khối lượng công việc:</t>
  </si>
  <si>
    <t>Dựa trên khối lượng công việc được phân trong file phân công công việc</t>
  </si>
  <si>
    <t>= (khối lượng công việc của thành viên / Tổng khối lượng công việc của cả nhóm)*100</t>
  </si>
  <si>
    <t xml:space="preserve">Hoàn thành công việc: </t>
  </si>
  <si>
    <t>Mức độ hoàn thành công việc được giao: 100% là hoàn thành hết các công việc được giao, nếu không hoàn thành thì cho mức độ hoàn thành 90%, 80%, ….</t>
  </si>
  <si>
    <t xml:space="preserve">Đóng góp cho nhóm: </t>
  </si>
  <si>
    <t>Mức độ nhiệt tình của thành viên, tích cực tham gia thảo luận, có những ý kiến và đóng góp cho bài tập nhóm</t>
  </si>
  <si>
    <t>Thành viên sẽ cho điểm mình và các thành viên khác trong nhóm từ 0 - 10</t>
  </si>
  <si>
    <t>Tham gia họp và làm việc cùng nhóm</t>
  </si>
  <si>
    <t>Có tham gia đầy đủ các buổi làm việc chung hay không</t>
  </si>
  <si>
    <t>= (Số buổi tham gia nhóm của thành viên / tổng số buổi nhóm họp) * 100</t>
  </si>
  <si>
    <t>Lưu ý</t>
  </si>
  <si>
    <t>1/ Thứ tự các thành viên trong file đánh giá đúng theo thứ tự thành viên của nhóm ở sheet DS nhóm đính kèm</t>
  </si>
  <si>
    <t>2/ Tên file đánh giá phải có số nhóm, mã SV, Tên SV. Mẫu: Eval_0101_Nhom-xx_MaSV_TenSV</t>
  </si>
  <si>
    <t xml:space="preserve">3/ Thành viên đánh giá phải gồm cả người đánh giá. </t>
  </si>
  <si>
    <t>4/ Trường hợp có 1 thành viên trong nhóm không làm thì các bạn cứ đánh giá là zero hết. Không được bỏ người ta ra khỏi danh sách.</t>
  </si>
  <si>
    <t>STT</t>
  </si>
  <si>
    <t>Họ lót</t>
  </si>
  <si>
    <t>Tên</t>
  </si>
  <si>
    <t>Ngày sinh</t>
  </si>
  <si>
    <t>Giới tính</t>
  </si>
  <si>
    <t>Email</t>
  </si>
  <si>
    <t>Lớp hành chính</t>
  </si>
  <si>
    <t>16</t>
  </si>
  <si>
    <t xml:space="preserve">Nguyễn Đức </t>
  </si>
  <si>
    <t>Nam</t>
  </si>
  <si>
    <t>1</t>
  </si>
  <si>
    <t>31</t>
  </si>
  <si>
    <t>Trí</t>
  </si>
  <si>
    <t>22</t>
  </si>
  <si>
    <t xml:space="preserve">Nguyễn Hữu </t>
  </si>
  <si>
    <t>Phát</t>
  </si>
  <si>
    <t>10</t>
  </si>
  <si>
    <t>27</t>
  </si>
  <si>
    <t>4</t>
  </si>
  <si>
    <t>Dương</t>
  </si>
  <si>
    <t>6</t>
  </si>
  <si>
    <t>7</t>
  </si>
  <si>
    <t>2</t>
  </si>
  <si>
    <t>9</t>
  </si>
  <si>
    <t>23</t>
  </si>
  <si>
    <t>28</t>
  </si>
  <si>
    <t>Thuận</t>
  </si>
  <si>
    <t>3</t>
  </si>
  <si>
    <t>29</t>
  </si>
  <si>
    <t>8</t>
  </si>
  <si>
    <t>15</t>
  </si>
  <si>
    <t>5</t>
  </si>
  <si>
    <t>Đức</t>
  </si>
  <si>
    <t>26</t>
  </si>
  <si>
    <t>14</t>
  </si>
  <si>
    <t>20</t>
  </si>
  <si>
    <t>13</t>
  </si>
  <si>
    <t>32</t>
  </si>
  <si>
    <t>Bảo</t>
  </si>
  <si>
    <t>Duy</t>
  </si>
  <si>
    <t>21</t>
  </si>
  <si>
    <t>25</t>
  </si>
  <si>
    <t>12</t>
  </si>
  <si>
    <t>Khoa</t>
  </si>
  <si>
    <t>18</t>
  </si>
  <si>
    <t>11</t>
  </si>
  <si>
    <t>19</t>
  </si>
  <si>
    <t>17</t>
  </si>
  <si>
    <t>24</t>
  </si>
  <si>
    <t>30</t>
  </si>
  <si>
    <t>t</t>
  </si>
  <si>
    <t>p</t>
  </si>
  <si>
    <t>2474802010140</t>
  </si>
  <si>
    <t xml:space="preserve">Nguyễn Đình </t>
  </si>
  <si>
    <t>Huy</t>
  </si>
  <si>
    <t>22/08/2006</t>
  </si>
  <si>
    <t>huy.2474802010140@vanlanguni.vn</t>
  </si>
  <si>
    <t>Khóa 7 Công nghệ thông tin-71K30CNTT08</t>
  </si>
  <si>
    <t>01</t>
  </si>
  <si>
    <t>2474802010129</t>
  </si>
  <si>
    <t xml:space="preserve">Nguyễn Phi </t>
  </si>
  <si>
    <t>Hùng</t>
  </si>
  <si>
    <t>16/03/2006</t>
  </si>
  <si>
    <t>hung.2474802010129@vanlanguni.vn</t>
  </si>
  <si>
    <t>Khóa 7 Công nghệ thông tin-71K30CNTT09</t>
  </si>
  <si>
    <t>2474802010313</t>
  </si>
  <si>
    <t xml:space="preserve">Đỗ Hoàng </t>
  </si>
  <si>
    <t>Phúc</t>
  </si>
  <si>
    <t>04/05/2006</t>
  </si>
  <si>
    <t>phuc.2474802010313@vanlanguni.vn</t>
  </si>
  <si>
    <t>2474802010314</t>
  </si>
  <si>
    <t xml:space="preserve">Huỳnh Hữu </t>
  </si>
  <si>
    <t>16/12/2006</t>
  </si>
  <si>
    <t>phuc.2474802010314@vanlanguni.vn</t>
  </si>
  <si>
    <t>2474802010386</t>
  </si>
  <si>
    <t xml:space="preserve">Lê Quyết </t>
  </si>
  <si>
    <t>Tiến</t>
  </si>
  <si>
    <t>03/07/2006</t>
  </si>
  <si>
    <t>tien.2474802010386@vanlanguni.vn</t>
  </si>
  <si>
    <t>Khóa 7 Công nghệ thông tin-71K30CNTT07</t>
  </si>
  <si>
    <t>2474802010077</t>
  </si>
  <si>
    <t xml:space="preserve">Nguyễn Hà Tiến </t>
  </si>
  <si>
    <t>Đạt</t>
  </si>
  <si>
    <t>29/07/2006</t>
  </si>
  <si>
    <t>dat.2474802010077@vanlanguni.vn</t>
  </si>
  <si>
    <t>Khóa 7 Công nghệ thông tin-71K30CNTT12</t>
  </si>
  <si>
    <t>02</t>
  </si>
  <si>
    <t>2474802010108</t>
  </si>
  <si>
    <t>Hạo</t>
  </si>
  <si>
    <t>14/09/2006</t>
  </si>
  <si>
    <t>hao.2474802010108@vanlanguni.vn</t>
  </si>
  <si>
    <t>2474802010148</t>
  </si>
  <si>
    <t xml:space="preserve">Phạm Minh </t>
  </si>
  <si>
    <t>15/07/2006</t>
  </si>
  <si>
    <t>huy.2474802010148@vanlanguni.vn</t>
  </si>
  <si>
    <t>Khóa 7 Công nghệ thông tin-71K30CNTT11</t>
  </si>
  <si>
    <t>2474802010209</t>
  </si>
  <si>
    <t xml:space="preserve">Nguyễn Bảo </t>
  </si>
  <si>
    <t>Lâm</t>
  </si>
  <si>
    <t>18/11/2006</t>
  </si>
  <si>
    <t>lam.2474802010209@vanlanguni.vn</t>
  </si>
  <si>
    <t>2474801040002</t>
  </si>
  <si>
    <t>12/09/2006</t>
  </si>
  <si>
    <t>duy.2474801040002@vanlanguni.vn</t>
  </si>
  <si>
    <t>Khóa 3 Hệ thống thông tin-71K30HTTT01</t>
  </si>
  <si>
    <t>03</t>
  </si>
  <si>
    <t>2474801040003</t>
  </si>
  <si>
    <t xml:space="preserve">Trần Huỳnh </t>
  </si>
  <si>
    <t>15/07/2005</t>
  </si>
  <si>
    <t>duc.2474801040003@vanlanguni.vn</t>
  </si>
  <si>
    <t>2474801040005</t>
  </si>
  <si>
    <t xml:space="preserve">NGUYỄN HOÀNG PHI </t>
  </si>
  <si>
    <t>LONG</t>
  </si>
  <si>
    <t>24/04/2006</t>
  </si>
  <si>
    <t>long.2474801040005@vanlanguni.vn</t>
  </si>
  <si>
    <t>2474801040010</t>
  </si>
  <si>
    <t xml:space="preserve">Bùi Minh </t>
  </si>
  <si>
    <t>09/05/2006</t>
  </si>
  <si>
    <t>tri.2474801040010@vanlanguni.vn</t>
  </si>
  <si>
    <t>2474802010261</t>
  </si>
  <si>
    <t xml:space="preserve">Nguyễn Tài </t>
  </si>
  <si>
    <t>Nguyên</t>
  </si>
  <si>
    <t>05/09/2006</t>
  </si>
  <si>
    <t>nguyen.2474802010261@vanlanguni.vn</t>
  </si>
  <si>
    <t>Khóa 7 Công nghệ thông tin-71K30CNTT10</t>
  </si>
  <si>
    <t>04</t>
  </si>
  <si>
    <t>2474802010577</t>
  </si>
  <si>
    <t xml:space="preserve">NGUYỄN PHAN GIA </t>
  </si>
  <si>
    <t>PHÁT</t>
  </si>
  <si>
    <t>21/04/2006</t>
  </si>
  <si>
    <t>phat.2474802010577@vanlanguni.vn</t>
  </si>
  <si>
    <t>Khóa 7 Công nghệ thông tin-71K30CNTT03</t>
  </si>
  <si>
    <t>2474802010319</t>
  </si>
  <si>
    <t xml:space="preserve">Đoàn Thiên </t>
  </si>
  <si>
    <t>Phước</t>
  </si>
  <si>
    <t>02/07/2006</t>
  </si>
  <si>
    <t>phuoc.2474802010319@vanlanguni.vn</t>
  </si>
  <si>
    <t>Khóa 7 Công nghệ thông tin-71K30CNTT02</t>
  </si>
  <si>
    <t>2474802010366</t>
  </si>
  <si>
    <t xml:space="preserve">Nguyễn Ngọc </t>
  </si>
  <si>
    <t>Thiên</t>
  </si>
  <si>
    <t>02/11/2006</t>
  </si>
  <si>
    <t>thien.2474802010366@vanlanguni.vn</t>
  </si>
  <si>
    <t>2474802010040</t>
  </si>
  <si>
    <t xml:space="preserve">Trần Gia </t>
  </si>
  <si>
    <t>27/09/2006</t>
  </si>
  <si>
    <t>bao.2474802010040@vanlanguni.vn</t>
  </si>
  <si>
    <t>Khóa 7 Công nghệ thông tin-71K30CNTT05</t>
  </si>
  <si>
    <t>05</t>
  </si>
  <si>
    <t>2474802010196</t>
  </si>
  <si>
    <t xml:space="preserve">Trần Nhật </t>
  </si>
  <si>
    <t>05/06/2006</t>
  </si>
  <si>
    <t>khoa.2474802010196@vanlanguni.vn</t>
  </si>
  <si>
    <t>2474802010361</t>
  </si>
  <si>
    <t xml:space="preserve">Trương Đức </t>
  </si>
  <si>
    <t>Thành</t>
  </si>
  <si>
    <t>06/08/2006</t>
  </si>
  <si>
    <t>thanh.2474802010361@vanlanguni.vn</t>
  </si>
  <si>
    <t>Khóa 7 Công nghệ thông tin-71K30CNTT13</t>
  </si>
  <si>
    <t>2474802010380</t>
  </si>
  <si>
    <t>04/11/2006</t>
  </si>
  <si>
    <t>thuan.2474802010380@vanlanguni.vn</t>
  </si>
  <si>
    <t>187IT20688</t>
  </si>
  <si>
    <t xml:space="preserve">Phan Minh </t>
  </si>
  <si>
    <t>Cường</t>
  </si>
  <si>
    <t>15/10/2000</t>
  </si>
  <si>
    <t>cuong.187it20688@vanlanguni.vn</t>
  </si>
  <si>
    <t>Khóa 1 Công nghệ thông tin-K24T-IT6</t>
  </si>
  <si>
    <t>06</t>
  </si>
  <si>
    <t>2274802010328</t>
  </si>
  <si>
    <t>Trần Đình Nhật</t>
  </si>
  <si>
    <t>2474802010068</t>
  </si>
  <si>
    <t xml:space="preserve">Nguyễn Minh </t>
  </si>
  <si>
    <t>03/12/2006</t>
  </si>
  <si>
    <t>duy.2474802010068@vanlanguni.vn</t>
  </si>
  <si>
    <t>07</t>
  </si>
  <si>
    <t>2474802010079</t>
  </si>
  <si>
    <t xml:space="preserve">Nguyễn Khánh </t>
  </si>
  <si>
    <t>01/05/2006</t>
  </si>
  <si>
    <t>dat.2474802010079@vanlanguni.vn</t>
  </si>
  <si>
    <t>2474802010204</t>
  </si>
  <si>
    <t xml:space="preserve">Cao Tuấn </t>
  </si>
  <si>
    <t>Kiệt</t>
  </si>
  <si>
    <t>18/08/2006</t>
  </si>
  <si>
    <t>kiet.2474802010204@vanlanguni.vn</t>
  </si>
  <si>
    <t>2474802010207</t>
  </si>
  <si>
    <t xml:space="preserve">Quách Phương </t>
  </si>
  <si>
    <t>09/12/2006</t>
  </si>
  <si>
    <t>kiet.2474802010207@vanlanguni.vn</t>
  </si>
  <si>
    <t>2474802010410</t>
  </si>
  <si>
    <t xml:space="preserve">Lê Thanh </t>
  </si>
  <si>
    <t>Trung</t>
  </si>
  <si>
    <t>27/11/2006</t>
  </si>
  <si>
    <t>trung.2474802010410@vanlanguni.vn</t>
  </si>
  <si>
    <t>2474802010072</t>
  </si>
  <si>
    <t xml:space="preserve">Hồ Văn </t>
  </si>
  <si>
    <t>24/03/2006</t>
  </si>
  <si>
    <t>duong.2474802010072@vanlanguni.vn</t>
  </si>
  <si>
    <t>2474802010556</t>
  </si>
  <si>
    <t xml:space="preserve">Phạm Tuấn </t>
  </si>
  <si>
    <t>30/10/2006</t>
  </si>
  <si>
    <t>kiet.2474802010556@vanlanguni.vn</t>
  </si>
  <si>
    <t>2474802010297</t>
  </si>
  <si>
    <t xml:space="preserve">Tô Tấn </t>
  </si>
  <si>
    <t>17/05/2006</t>
  </si>
  <si>
    <t>phat.2474802010297@vanlanguni.vn</t>
  </si>
  <si>
    <t>2474802010359</t>
  </si>
  <si>
    <t xml:space="preserve">ĐOÀN BẢO </t>
  </si>
  <si>
    <t>THÀNH</t>
  </si>
  <si>
    <t>20/06/2005</t>
  </si>
  <si>
    <t>thanh.2474802010359@vanlanguni.vn</t>
  </si>
  <si>
    <t>Lập trình Ứng dụng Web</t>
  </si>
  <si>
    <t>Nhóm 07</t>
  </si>
  <si>
    <t>Cao Tuấn Kiệt</t>
  </si>
  <si>
    <t>Lê Thanh Trung</t>
  </si>
  <si>
    <t>Nguyễn Minh Duy</t>
  </si>
  <si>
    <t>Nguyễn Khánh Đạt</t>
  </si>
  <si>
    <t>Quách Phương Kiệt</t>
  </si>
  <si>
    <t>Họ tên SV: Nguyễn Khánh Đạt</t>
  </si>
  <si>
    <t>Mã SV: 2474802010079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</si>
</sst>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b/>
      <sz val="10"/>
      <name val="Arial"/>
      <family val="2"/>
    </font>
    <font>
      <b/>
      <sz val="12"/>
      <color theme="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sz val="10"/>
      <color rgb="FF002060"/>
      <name val="Calibri"/>
      <family val="2"/>
      <scheme val="minor"/>
    </font>
    <font>
      <sz val="11"/>
      <color rgb="FFC0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1"/>
      <name val="Arial"/>
      <family val="2"/>
    </font>
    <font>
      <sz val="12"/>
      <color theme="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b/>
      <sz val="11"/>
      <color theme="0" tint="-0.249977111117893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12" fillId="0" borderId="0"/>
    <xf numFmtId="0" fontId="1" fillId="0" borderId="0"/>
  </cellStyleXfs>
  <cellXfs count="56">
    <xf numFmtId="0" fontId="0" fillId="0" borderId="0" xfId="0"/>
    <xf numFmtId="0" fontId="3" fillId="0" borderId="0" xfId="0" applyFont="1" applyAlignment="1">
      <alignment vertical="center"/>
    </xf>
    <xf numFmtId="0" fontId="3" fillId="0" borderId="0" xfId="0" applyFont="1" applyAlignment="1">
      <alignment horizontal="left" vertical="center"/>
    </xf>
    <xf numFmtId="0" fontId="0" fillId="0" borderId="3" xfId="0" applyBorder="1" applyProtection="1">
      <protection locked="0"/>
    </xf>
    <xf numFmtId="0" fontId="5" fillId="3" borderId="1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2" xfId="0" applyFont="1" applyBorder="1" applyAlignment="1">
      <alignment vertical="center"/>
    </xf>
    <xf numFmtId="0" fontId="0" fillId="0" borderId="8" xfId="0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 applyProtection="1">
      <alignment vertical="center"/>
      <protection locked="0"/>
    </xf>
    <xf numFmtId="0" fontId="6" fillId="0" borderId="0" xfId="0" applyFont="1" applyAlignment="1">
      <alignment horizontal="left"/>
    </xf>
    <xf numFmtId="0" fontId="7" fillId="0" borderId="0" xfId="0" applyFont="1"/>
    <xf numFmtId="0" fontId="8" fillId="0" borderId="0" xfId="0" applyFont="1"/>
    <xf numFmtId="0" fontId="9" fillId="3" borderId="2" xfId="0" applyFont="1" applyFill="1" applyBorder="1" applyAlignment="1">
      <alignment horizontal="center" vertical="center"/>
    </xf>
    <xf numFmtId="0" fontId="10" fillId="0" borderId="0" xfId="0" quotePrefix="1" applyFont="1"/>
    <xf numFmtId="0" fontId="10" fillId="0" borderId="0" xfId="0" applyFont="1"/>
    <xf numFmtId="0" fontId="0" fillId="0" borderId="2" xfId="0" applyBorder="1" applyAlignment="1" applyProtection="1">
      <alignment horizontal="center" vertical="center"/>
      <protection locked="0"/>
    </xf>
    <xf numFmtId="10" fontId="0" fillId="0" borderId="2" xfId="1" applyNumberFormat="1" applyFont="1" applyFill="1" applyBorder="1" applyAlignment="1" applyProtection="1">
      <alignment horizontal="center" vertical="center"/>
    </xf>
    <xf numFmtId="9" fontId="11" fillId="5" borderId="0" xfId="1" applyFont="1" applyFill="1" applyAlignment="1">
      <alignment horizontal="center"/>
    </xf>
    <xf numFmtId="0" fontId="0" fillId="0" borderId="2" xfId="0" applyBorder="1"/>
    <xf numFmtId="0" fontId="0" fillId="0" borderId="8" xfId="0" applyBorder="1"/>
    <xf numFmtId="49" fontId="13" fillId="5" borderId="2" xfId="0" applyNumberFormat="1" applyFont="1" applyFill="1" applyBorder="1"/>
    <xf numFmtId="0" fontId="14" fillId="0" borderId="0" xfId="0" applyFont="1"/>
    <xf numFmtId="2" fontId="15" fillId="0" borderId="0" xfId="0" applyNumberFormat="1" applyFont="1"/>
    <xf numFmtId="2" fontId="16" fillId="0" borderId="0" xfId="0" applyNumberFormat="1" applyFont="1"/>
    <xf numFmtId="0" fontId="15" fillId="0" borderId="0" xfId="0" applyFont="1"/>
    <xf numFmtId="0" fontId="17" fillId="0" borderId="7" xfId="0" applyFont="1" applyBorder="1" applyAlignment="1" applyProtection="1">
      <alignment vertical="center"/>
      <protection locked="0"/>
    </xf>
    <xf numFmtId="0" fontId="17" fillId="0" borderId="9" xfId="0" applyFont="1" applyBorder="1" applyAlignment="1" applyProtection="1">
      <alignment vertical="center"/>
      <protection locked="0"/>
    </xf>
    <xf numFmtId="0" fontId="17" fillId="0" borderId="7" xfId="0" applyFont="1" applyBorder="1" applyAlignment="1">
      <alignment vertical="center"/>
    </xf>
    <xf numFmtId="0" fontId="17" fillId="0" borderId="9" xfId="0" applyFont="1" applyBorder="1" applyAlignment="1">
      <alignment vertical="center"/>
    </xf>
    <xf numFmtId="0" fontId="17" fillId="0" borderId="2" xfId="0" applyFont="1" applyBorder="1" applyAlignment="1" applyProtection="1">
      <alignment horizontal="left" vertical="center"/>
      <protection locked="0"/>
    </xf>
    <xf numFmtId="0" fontId="0" fillId="0" borderId="2" xfId="0" applyBorder="1" applyProtection="1">
      <protection locked="0"/>
    </xf>
    <xf numFmtId="9" fontId="0" fillId="0" borderId="2" xfId="1" applyFont="1" applyBorder="1" applyAlignment="1" applyProtection="1">
      <alignment horizontal="center" vertical="center"/>
      <protection locked="0"/>
    </xf>
    <xf numFmtId="49" fontId="13" fillId="0" borderId="0" xfId="0" applyNumberFormat="1" applyFont="1"/>
    <xf numFmtId="49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8" fillId="0" borderId="0" xfId="0" applyFont="1"/>
    <xf numFmtId="49" fontId="13" fillId="0" borderId="10" xfId="0" applyNumberFormat="1" applyFont="1" applyBorder="1"/>
    <xf numFmtId="49" fontId="13" fillId="0" borderId="10" xfId="0" applyNumberFormat="1" applyFont="1" applyBorder="1" applyAlignment="1">
      <alignment horizontal="center"/>
    </xf>
    <xf numFmtId="0" fontId="13" fillId="0" borderId="10" xfId="0" applyFont="1" applyBorder="1" applyAlignment="1">
      <alignment horizontal="center"/>
    </xf>
    <xf numFmtId="49" fontId="18" fillId="6" borderId="11" xfId="0" applyNumberFormat="1" applyFont="1" applyFill="1" applyBorder="1" applyAlignment="1">
      <alignment horizontal="center" vertical="center" wrapText="1"/>
    </xf>
    <xf numFmtId="49" fontId="19" fillId="0" borderId="2" xfId="0" applyNumberFormat="1" applyFont="1" applyBorder="1"/>
    <xf numFmtId="49" fontId="19" fillId="7" borderId="2" xfId="0" applyNumberFormat="1" applyFont="1" applyFill="1" applyBorder="1"/>
    <xf numFmtId="49" fontId="19" fillId="7" borderId="11" xfId="0" applyNumberFormat="1" applyFont="1" applyFill="1" applyBorder="1"/>
    <xf numFmtId="49" fontId="19" fillId="7" borderId="10" xfId="0" applyNumberFormat="1" applyFont="1" applyFill="1" applyBorder="1"/>
    <xf numFmtId="0" fontId="2" fillId="0" borderId="0" xfId="0" applyFont="1" applyAlignment="1">
      <alignment horizontal="center"/>
    </xf>
    <xf numFmtId="0" fontId="17" fillId="0" borderId="7" xfId="0" applyFont="1" applyBorder="1" applyAlignment="1" applyProtection="1">
      <alignment horizontal="left" vertical="center"/>
      <protection locked="0"/>
    </xf>
    <xf numFmtId="0" fontId="17" fillId="0" borderId="8" xfId="0" applyFont="1" applyBorder="1" applyAlignment="1" applyProtection="1">
      <alignment horizontal="left" vertical="center"/>
      <protection locked="0"/>
    </xf>
    <xf numFmtId="0" fontId="4" fillId="2" borderId="4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</cellXfs>
  <cellStyles count="4">
    <cellStyle name="Normal" xfId="0" builtinId="0"/>
    <cellStyle name="Normal 2" xfId="2" xr:uid="{98075E69-72F3-41DC-B06D-2370020C880F}"/>
    <cellStyle name="Normal 3" xfId="3" xr:uid="{35AF5A84-80EB-4BED-8B98-AD819189312B}"/>
    <cellStyle name="Percent" xfId="1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B929C-74EC-4E89-A1A9-F077ACAD4483}">
  <dimension ref="A1:P33"/>
  <sheetViews>
    <sheetView tabSelected="1" zoomScaleNormal="100" workbookViewId="0">
      <selection activeCell="A18" sqref="A18"/>
    </sheetView>
  </sheetViews>
  <sheetFormatPr defaultColWidth="8.77734375" defaultRowHeight="14.4" x14ac:dyDescent="0.3"/>
  <cols>
    <col min="1" max="1" width="4.44140625" customWidth="1"/>
    <col min="2" max="2" width="15.109375" customWidth="1"/>
    <col min="3" max="3" width="22.109375" customWidth="1"/>
    <col min="4" max="4" width="11.44140625" customWidth="1"/>
    <col min="5" max="5" width="18.109375" customWidth="1"/>
    <col min="6" max="6" width="12.44140625" customWidth="1"/>
    <col min="7" max="7" width="12.77734375" customWidth="1"/>
    <col min="8" max="8" width="16.44140625" customWidth="1"/>
    <col min="10" max="10" width="3" customWidth="1"/>
    <col min="11" max="15" width="5.44140625" customWidth="1"/>
  </cols>
  <sheetData>
    <row r="1" spans="1:16" ht="23.4" x14ac:dyDescent="0.45">
      <c r="A1" s="50" t="s">
        <v>0</v>
      </c>
      <c r="B1" s="50"/>
      <c r="C1" s="50"/>
      <c r="D1" s="50"/>
      <c r="E1" s="50"/>
      <c r="F1" s="50"/>
      <c r="G1" s="50"/>
      <c r="H1" s="50"/>
      <c r="I1" s="50"/>
    </row>
    <row r="2" spans="1:16" ht="15.6" x14ac:dyDescent="0.3">
      <c r="D2" s="41" t="s">
        <v>1</v>
      </c>
    </row>
    <row r="4" spans="1:16" x14ac:dyDescent="0.3">
      <c r="A4" s="13" t="s">
        <v>2</v>
      </c>
      <c r="B4" s="25"/>
      <c r="C4" s="31"/>
      <c r="D4" s="32"/>
      <c r="E4" s="12"/>
    </row>
    <row r="5" spans="1:16" x14ac:dyDescent="0.3">
      <c r="A5" s="11" t="s">
        <v>3</v>
      </c>
      <c r="B5" s="24"/>
      <c r="C5" s="33" t="s">
        <v>246</v>
      </c>
      <c r="D5" s="34"/>
      <c r="E5" s="12"/>
    </row>
    <row r="6" spans="1:16" x14ac:dyDescent="0.3">
      <c r="A6" s="11" t="s">
        <v>4</v>
      </c>
      <c r="B6" s="24"/>
      <c r="C6" s="31" t="s">
        <v>247</v>
      </c>
      <c r="D6" s="32"/>
      <c r="E6" s="14"/>
    </row>
    <row r="7" spans="1:16" x14ac:dyDescent="0.3">
      <c r="A7" s="11" t="s">
        <v>5</v>
      </c>
      <c r="B7" s="24"/>
      <c r="C7" s="31" t="s">
        <v>6</v>
      </c>
      <c r="D7" s="32"/>
      <c r="E7" s="14"/>
    </row>
    <row r="8" spans="1:16" x14ac:dyDescent="0.3">
      <c r="A8" s="11" t="s">
        <v>7</v>
      </c>
      <c r="B8" s="24"/>
      <c r="C8" s="35" t="s">
        <v>254</v>
      </c>
      <c r="D8" s="51" t="s">
        <v>253</v>
      </c>
      <c r="E8" s="52"/>
    </row>
    <row r="9" spans="1:16" ht="15" thickBot="1" x14ac:dyDescent="0.35">
      <c r="A9" s="1"/>
      <c r="B9" s="2"/>
      <c r="C9" s="2"/>
      <c r="D9" s="2"/>
    </row>
    <row r="10" spans="1:16" ht="15.6" x14ac:dyDescent="0.3">
      <c r="A10" s="53" t="s">
        <v>8</v>
      </c>
      <c r="B10" s="54"/>
      <c r="C10" s="54"/>
      <c r="D10" s="54"/>
      <c r="E10" s="54"/>
      <c r="F10" s="54"/>
      <c r="G10" s="54"/>
      <c r="H10" s="54"/>
      <c r="I10" s="55"/>
    </row>
    <row r="11" spans="1:16" ht="43.2" x14ac:dyDescent="0.3">
      <c r="A11" s="4" t="s">
        <v>9</v>
      </c>
      <c r="B11" s="5" t="s">
        <v>10</v>
      </c>
      <c r="C11" s="5" t="s">
        <v>11</v>
      </c>
      <c r="D11" s="5"/>
      <c r="E11" s="5" t="s">
        <v>12</v>
      </c>
      <c r="F11" s="5" t="s">
        <v>13</v>
      </c>
      <c r="G11" s="5" t="s">
        <v>14</v>
      </c>
      <c r="H11" s="5" t="s">
        <v>15</v>
      </c>
      <c r="I11" s="6" t="s">
        <v>16</v>
      </c>
    </row>
    <row r="12" spans="1:16" x14ac:dyDescent="0.3">
      <c r="A12" s="7"/>
      <c r="B12" s="8"/>
      <c r="C12" s="8"/>
      <c r="D12" s="8"/>
      <c r="E12" s="18" t="s">
        <v>17</v>
      </c>
      <c r="F12" s="8" t="s">
        <v>17</v>
      </c>
      <c r="G12" s="8" t="s">
        <v>18</v>
      </c>
      <c r="H12" s="8" t="s">
        <v>17</v>
      </c>
      <c r="I12" s="9"/>
    </row>
    <row r="13" spans="1:16" ht="15.6" x14ac:dyDescent="0.3">
      <c r="A13" s="10">
        <v>14</v>
      </c>
      <c r="B13" s="26" t="s">
        <v>215</v>
      </c>
      <c r="C13" s="26" t="s">
        <v>248</v>
      </c>
      <c r="D13" s="26"/>
      <c r="E13" s="22">
        <v>0.2</v>
      </c>
      <c r="F13" s="37">
        <v>1</v>
      </c>
      <c r="G13" s="21">
        <v>10</v>
      </c>
      <c r="H13" s="37">
        <v>1</v>
      </c>
      <c r="I13" s="3"/>
      <c r="K13" s="28"/>
      <c r="L13" s="28"/>
      <c r="M13" s="28"/>
      <c r="N13" s="28"/>
      <c r="O13" s="29"/>
      <c r="P13" s="28"/>
    </row>
    <row r="14" spans="1:16" ht="15.6" x14ac:dyDescent="0.3">
      <c r="A14" s="10">
        <v>31</v>
      </c>
      <c r="B14" s="26" t="s">
        <v>224</v>
      </c>
      <c r="C14" s="26" t="s">
        <v>249</v>
      </c>
      <c r="D14" s="26"/>
      <c r="E14" s="22">
        <v>0.2</v>
      </c>
      <c r="F14" s="37">
        <v>1</v>
      </c>
      <c r="G14" s="21">
        <v>10</v>
      </c>
      <c r="H14" s="37">
        <v>1</v>
      </c>
      <c r="I14" s="3"/>
      <c r="K14" s="28"/>
      <c r="L14" s="28"/>
      <c r="M14" s="28"/>
      <c r="N14" s="28"/>
      <c r="O14" s="29"/>
      <c r="P14" s="30"/>
    </row>
    <row r="15" spans="1:16" ht="15.6" x14ac:dyDescent="0.3">
      <c r="A15" s="10">
        <v>4</v>
      </c>
      <c r="B15" s="26" t="s">
        <v>206</v>
      </c>
      <c r="C15" s="26" t="s">
        <v>250</v>
      </c>
      <c r="D15" s="26"/>
      <c r="E15" s="22">
        <v>0.2</v>
      </c>
      <c r="F15" s="37">
        <v>1</v>
      </c>
      <c r="G15" s="21">
        <v>10</v>
      </c>
      <c r="H15" s="37">
        <v>1</v>
      </c>
      <c r="I15" s="3"/>
      <c r="K15" s="28"/>
      <c r="L15" s="28"/>
      <c r="M15" s="28"/>
      <c r="N15" s="28"/>
      <c r="O15" s="29"/>
      <c r="P15" s="28"/>
    </row>
    <row r="16" spans="1:16" ht="15.6" x14ac:dyDescent="0.3">
      <c r="A16" s="10">
        <v>7</v>
      </c>
      <c r="B16" s="26" t="s">
        <v>211</v>
      </c>
      <c r="C16" s="26" t="s">
        <v>251</v>
      </c>
      <c r="D16" s="26"/>
      <c r="E16" s="22">
        <v>0.2</v>
      </c>
      <c r="F16" s="37">
        <v>1</v>
      </c>
      <c r="G16" s="21">
        <v>10</v>
      </c>
      <c r="H16" s="37">
        <v>1</v>
      </c>
      <c r="I16" s="36"/>
      <c r="K16" s="28"/>
      <c r="L16" s="28"/>
      <c r="M16" s="28"/>
      <c r="N16" s="28"/>
      <c r="O16" s="29"/>
      <c r="P16" s="28"/>
    </row>
    <row r="17" spans="1:9" ht="15.6" x14ac:dyDescent="0.3">
      <c r="A17" s="10">
        <v>16</v>
      </c>
      <c r="B17" s="26" t="s">
        <v>220</v>
      </c>
      <c r="C17" s="26" t="s">
        <v>252</v>
      </c>
      <c r="D17" s="26"/>
      <c r="E17" s="22">
        <v>0.2</v>
      </c>
      <c r="F17" s="37">
        <v>1</v>
      </c>
      <c r="G17" s="21">
        <v>10</v>
      </c>
      <c r="H17" s="37">
        <v>1</v>
      </c>
      <c r="I17" s="37"/>
    </row>
    <row r="18" spans="1:9" x14ac:dyDescent="0.3">
      <c r="E18" s="23">
        <f>SUM(E13:E17)</f>
        <v>1</v>
      </c>
    </row>
    <row r="19" spans="1:9" x14ac:dyDescent="0.3">
      <c r="A19" s="15" t="s">
        <v>16</v>
      </c>
    </row>
    <row r="20" spans="1:9" ht="16.95" customHeight="1" x14ac:dyDescent="0.3">
      <c r="B20" s="17" t="s">
        <v>19</v>
      </c>
      <c r="E20" s="16" t="s">
        <v>20</v>
      </c>
    </row>
    <row r="21" spans="1:9" ht="16.95" customHeight="1" x14ac:dyDescent="0.3">
      <c r="B21" s="17"/>
      <c r="E21" s="19" t="s">
        <v>21</v>
      </c>
    </row>
    <row r="22" spans="1:9" ht="21" customHeight="1" x14ac:dyDescent="0.3">
      <c r="B22" s="17" t="s">
        <v>22</v>
      </c>
      <c r="E22" s="16" t="s">
        <v>23</v>
      </c>
    </row>
    <row r="23" spans="1:9" ht="7.95" customHeight="1" x14ac:dyDescent="0.3">
      <c r="B23" s="17"/>
    </row>
    <row r="24" spans="1:9" ht="19.5" customHeight="1" x14ac:dyDescent="0.3">
      <c r="B24" s="17" t="s">
        <v>24</v>
      </c>
      <c r="E24" s="16" t="s">
        <v>25</v>
      </c>
    </row>
    <row r="25" spans="1:9" ht="16.95" customHeight="1" x14ac:dyDescent="0.3">
      <c r="B25" s="17"/>
      <c r="E25" s="20" t="s">
        <v>26</v>
      </c>
    </row>
    <row r="26" spans="1:9" ht="22.2" customHeight="1" x14ac:dyDescent="0.3">
      <c r="B26" s="17" t="s">
        <v>27</v>
      </c>
      <c r="E26" s="16" t="s">
        <v>28</v>
      </c>
    </row>
    <row r="27" spans="1:9" x14ac:dyDescent="0.3">
      <c r="E27" s="19" t="s">
        <v>29</v>
      </c>
    </row>
    <row r="29" spans="1:9" x14ac:dyDescent="0.3">
      <c r="A29" s="27" t="s">
        <v>30</v>
      </c>
    </row>
    <row r="30" spans="1:9" x14ac:dyDescent="0.3">
      <c r="B30" s="27" t="s">
        <v>31</v>
      </c>
    </row>
    <row r="31" spans="1:9" x14ac:dyDescent="0.3">
      <c r="B31" s="27" t="s">
        <v>32</v>
      </c>
    </row>
    <row r="32" spans="1:9" x14ac:dyDescent="0.3">
      <c r="B32" s="27" t="s">
        <v>33</v>
      </c>
    </row>
    <row r="33" spans="2:2" x14ac:dyDescent="0.3">
      <c r="B33" s="27" t="s">
        <v>34</v>
      </c>
    </row>
  </sheetData>
  <mergeCells count="3">
    <mergeCell ref="A1:I1"/>
    <mergeCell ref="D8:E8"/>
    <mergeCell ref="A10:I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39961-99C5-4541-B65A-33334F343E53}">
  <dimension ref="A3:I39"/>
  <sheetViews>
    <sheetView zoomScale="90" zoomScaleNormal="90" workbookViewId="0">
      <selection activeCell="A4" sqref="A4:I35"/>
    </sheetView>
  </sheetViews>
  <sheetFormatPr defaultColWidth="8.77734375" defaultRowHeight="15.6" x14ac:dyDescent="0.3"/>
  <cols>
    <col min="1" max="1" width="4.44140625" style="38" bestFit="1" customWidth="1"/>
    <col min="2" max="2" width="15.44140625" style="38" bestFit="1" customWidth="1"/>
    <col min="3" max="3" width="19.44140625" style="38" bestFit="1" customWidth="1"/>
    <col min="4" max="4" width="8.44140625" style="38" bestFit="1" customWidth="1"/>
    <col min="5" max="5" width="11.44140625" style="38" bestFit="1" customWidth="1"/>
    <col min="6" max="6" width="9.44140625" style="38" bestFit="1" customWidth="1"/>
    <col min="7" max="7" width="38.77734375" style="38" hidden="1" customWidth="1"/>
    <col min="8" max="8" width="40.77734375" style="38" hidden="1" customWidth="1"/>
    <col min="9" max="9" width="7.77734375" style="38" customWidth="1"/>
    <col min="10" max="16384" width="8.77734375" style="38"/>
  </cols>
  <sheetData>
    <row r="3" spans="1:9" ht="37.200000000000003" customHeight="1" x14ac:dyDescent="0.3">
      <c r="A3" s="45" t="s">
        <v>35</v>
      </c>
      <c r="B3" s="45" t="s">
        <v>10</v>
      </c>
      <c r="C3" s="45" t="s">
        <v>36</v>
      </c>
      <c r="D3" s="45" t="s">
        <v>37</v>
      </c>
      <c r="E3" s="45" t="s">
        <v>38</v>
      </c>
      <c r="F3" s="45" t="s">
        <v>39</v>
      </c>
      <c r="G3" s="45" t="s">
        <v>40</v>
      </c>
      <c r="H3" s="45" t="s">
        <v>41</v>
      </c>
      <c r="I3" s="45" t="s">
        <v>4</v>
      </c>
    </row>
    <row r="4" spans="1:9" ht="21" x14ac:dyDescent="0.4">
      <c r="A4" s="46" t="s">
        <v>51</v>
      </c>
      <c r="B4" s="46" t="s">
        <v>87</v>
      </c>
      <c r="C4" s="46" t="s">
        <v>88</v>
      </c>
      <c r="D4" s="46" t="s">
        <v>89</v>
      </c>
      <c r="E4" s="46" t="s">
        <v>90</v>
      </c>
      <c r="F4" s="46" t="s">
        <v>44</v>
      </c>
      <c r="G4" s="46" t="s">
        <v>91</v>
      </c>
      <c r="H4" s="46" t="s">
        <v>92</v>
      </c>
      <c r="I4" s="46" t="s">
        <v>93</v>
      </c>
    </row>
    <row r="5" spans="1:9" ht="21" x14ac:dyDescent="0.4">
      <c r="A5" s="46" t="s">
        <v>77</v>
      </c>
      <c r="B5" s="46" t="s">
        <v>94</v>
      </c>
      <c r="C5" s="46" t="s">
        <v>95</v>
      </c>
      <c r="D5" s="46" t="s">
        <v>96</v>
      </c>
      <c r="E5" s="46" t="s">
        <v>97</v>
      </c>
      <c r="F5" s="46" t="s">
        <v>44</v>
      </c>
      <c r="G5" s="46" t="s">
        <v>98</v>
      </c>
      <c r="H5" s="46" t="s">
        <v>99</v>
      </c>
      <c r="I5" s="46" t="s">
        <v>93</v>
      </c>
    </row>
    <row r="6" spans="1:9" ht="21" x14ac:dyDescent="0.4">
      <c r="A6" s="46" t="s">
        <v>48</v>
      </c>
      <c r="B6" s="46" t="s">
        <v>100</v>
      </c>
      <c r="C6" s="46" t="s">
        <v>101</v>
      </c>
      <c r="D6" s="46" t="s">
        <v>102</v>
      </c>
      <c r="E6" s="46" t="s">
        <v>103</v>
      </c>
      <c r="F6" s="46" t="s">
        <v>44</v>
      </c>
      <c r="G6" s="46" t="s">
        <v>104</v>
      </c>
      <c r="H6" s="46" t="s">
        <v>99</v>
      </c>
      <c r="I6" s="46" t="s">
        <v>93</v>
      </c>
    </row>
    <row r="7" spans="1:9" ht="21" x14ac:dyDescent="0.4">
      <c r="A7" s="46" t="s">
        <v>59</v>
      </c>
      <c r="B7" s="46" t="s">
        <v>105</v>
      </c>
      <c r="C7" s="46" t="s">
        <v>106</v>
      </c>
      <c r="D7" s="46" t="s">
        <v>102</v>
      </c>
      <c r="E7" s="46" t="s">
        <v>107</v>
      </c>
      <c r="F7" s="46" t="s">
        <v>44</v>
      </c>
      <c r="G7" s="46" t="s">
        <v>108</v>
      </c>
      <c r="H7" s="46" t="s">
        <v>99</v>
      </c>
      <c r="I7" s="46" t="s">
        <v>93</v>
      </c>
    </row>
    <row r="8" spans="1:9" ht="21" x14ac:dyDescent="0.4">
      <c r="A8" s="46" t="s">
        <v>63</v>
      </c>
      <c r="B8" s="46" t="s">
        <v>109</v>
      </c>
      <c r="C8" s="46" t="s">
        <v>110</v>
      </c>
      <c r="D8" s="46" t="s">
        <v>111</v>
      </c>
      <c r="E8" s="46" t="s">
        <v>112</v>
      </c>
      <c r="F8" s="46" t="s">
        <v>44</v>
      </c>
      <c r="G8" s="46" t="s">
        <v>113</v>
      </c>
      <c r="H8" s="46" t="s">
        <v>114</v>
      </c>
      <c r="I8" s="46" t="s">
        <v>93</v>
      </c>
    </row>
    <row r="9" spans="1:9" ht="21" x14ac:dyDescent="0.4">
      <c r="A9" s="46" t="s">
        <v>55</v>
      </c>
      <c r="B9" s="46" t="s">
        <v>115</v>
      </c>
      <c r="C9" s="46" t="s">
        <v>116</v>
      </c>
      <c r="D9" s="46" t="s">
        <v>117</v>
      </c>
      <c r="E9" s="46" t="s">
        <v>118</v>
      </c>
      <c r="F9" s="46" t="s">
        <v>44</v>
      </c>
      <c r="G9" s="46" t="s">
        <v>119</v>
      </c>
      <c r="H9" s="46" t="s">
        <v>120</v>
      </c>
      <c r="I9" s="46" t="s">
        <v>121</v>
      </c>
    </row>
    <row r="10" spans="1:9" ht="21" x14ac:dyDescent="0.4">
      <c r="A10" s="46" t="s">
        <v>58</v>
      </c>
      <c r="B10" s="46" t="s">
        <v>122</v>
      </c>
      <c r="C10" s="46" t="s">
        <v>49</v>
      </c>
      <c r="D10" s="46" t="s">
        <v>123</v>
      </c>
      <c r="E10" s="46" t="s">
        <v>124</v>
      </c>
      <c r="F10" s="46" t="s">
        <v>44</v>
      </c>
      <c r="G10" s="46" t="s">
        <v>125</v>
      </c>
      <c r="H10" s="46" t="s">
        <v>99</v>
      </c>
      <c r="I10" s="46" t="s">
        <v>121</v>
      </c>
    </row>
    <row r="11" spans="1:9" ht="21" x14ac:dyDescent="0.4">
      <c r="A11" s="46" t="s">
        <v>80</v>
      </c>
      <c r="B11" s="46" t="s">
        <v>126</v>
      </c>
      <c r="C11" s="46" t="s">
        <v>127</v>
      </c>
      <c r="D11" s="46" t="s">
        <v>89</v>
      </c>
      <c r="E11" s="46" t="s">
        <v>128</v>
      </c>
      <c r="F11" s="46" t="s">
        <v>44</v>
      </c>
      <c r="G11" s="46" t="s">
        <v>129</v>
      </c>
      <c r="H11" s="46" t="s">
        <v>130</v>
      </c>
      <c r="I11" s="46" t="s">
        <v>121</v>
      </c>
    </row>
    <row r="12" spans="1:9" ht="21" x14ac:dyDescent="0.4">
      <c r="A12" s="46" t="s">
        <v>82</v>
      </c>
      <c r="B12" s="46" t="s">
        <v>131</v>
      </c>
      <c r="C12" s="46" t="s">
        <v>132</v>
      </c>
      <c r="D12" s="46" t="s">
        <v>133</v>
      </c>
      <c r="E12" s="46" t="s">
        <v>134</v>
      </c>
      <c r="F12" s="46" t="s">
        <v>44</v>
      </c>
      <c r="G12" s="46" t="s">
        <v>135</v>
      </c>
      <c r="H12" s="46" t="s">
        <v>120</v>
      </c>
      <c r="I12" s="46" t="s">
        <v>121</v>
      </c>
    </row>
    <row r="13" spans="1:9" ht="21" x14ac:dyDescent="0.4">
      <c r="A13" s="46" t="s">
        <v>62</v>
      </c>
      <c r="B13" s="46" t="s">
        <v>136</v>
      </c>
      <c r="C13" s="46" t="s">
        <v>43</v>
      </c>
      <c r="D13" s="46" t="s">
        <v>74</v>
      </c>
      <c r="E13" s="46" t="s">
        <v>137</v>
      </c>
      <c r="F13" s="46" t="s">
        <v>44</v>
      </c>
      <c r="G13" s="46" t="s">
        <v>138</v>
      </c>
      <c r="H13" s="46" t="s">
        <v>139</v>
      </c>
      <c r="I13" s="46" t="s">
        <v>140</v>
      </c>
    </row>
    <row r="14" spans="1:9" ht="21" x14ac:dyDescent="0.4">
      <c r="A14" s="46" t="s">
        <v>64</v>
      </c>
      <c r="B14" s="46" t="s">
        <v>141</v>
      </c>
      <c r="C14" s="46" t="s">
        <v>142</v>
      </c>
      <c r="D14" s="46" t="s">
        <v>67</v>
      </c>
      <c r="E14" s="46" t="s">
        <v>143</v>
      </c>
      <c r="F14" s="46" t="s">
        <v>44</v>
      </c>
      <c r="G14" s="46" t="s">
        <v>144</v>
      </c>
      <c r="H14" s="46" t="s">
        <v>139</v>
      </c>
      <c r="I14" s="46" t="s">
        <v>140</v>
      </c>
    </row>
    <row r="15" spans="1:9" ht="21" x14ac:dyDescent="0.4">
      <c r="A15" s="46" t="s">
        <v>79</v>
      </c>
      <c r="B15" s="46" t="s">
        <v>145</v>
      </c>
      <c r="C15" s="46" t="s">
        <v>146</v>
      </c>
      <c r="D15" s="46" t="s">
        <v>147</v>
      </c>
      <c r="E15" s="46" t="s">
        <v>148</v>
      </c>
      <c r="F15" s="46" t="s">
        <v>44</v>
      </c>
      <c r="G15" s="46" t="s">
        <v>149</v>
      </c>
      <c r="H15" s="46" t="s">
        <v>139</v>
      </c>
      <c r="I15" s="46" t="s">
        <v>140</v>
      </c>
    </row>
    <row r="16" spans="1:9" ht="21" x14ac:dyDescent="0.4">
      <c r="A16" s="46" t="s">
        <v>84</v>
      </c>
      <c r="B16" s="46" t="s">
        <v>150</v>
      </c>
      <c r="C16" s="46" t="s">
        <v>151</v>
      </c>
      <c r="D16" s="46" t="s">
        <v>47</v>
      </c>
      <c r="E16" s="46" t="s">
        <v>152</v>
      </c>
      <c r="F16" s="46" t="s">
        <v>44</v>
      </c>
      <c r="G16" s="46" t="s">
        <v>153</v>
      </c>
      <c r="H16" s="46" t="s">
        <v>139</v>
      </c>
      <c r="I16" s="46" t="s">
        <v>140</v>
      </c>
    </row>
    <row r="17" spans="1:9" ht="21" x14ac:dyDescent="0.4">
      <c r="A17" s="46" t="s">
        <v>81</v>
      </c>
      <c r="B17" s="46" t="s">
        <v>154</v>
      </c>
      <c r="C17" s="46" t="s">
        <v>155</v>
      </c>
      <c r="D17" s="46" t="s">
        <v>156</v>
      </c>
      <c r="E17" s="46" t="s">
        <v>157</v>
      </c>
      <c r="F17" s="46" t="s">
        <v>44</v>
      </c>
      <c r="G17" s="46" t="s">
        <v>158</v>
      </c>
      <c r="H17" s="46" t="s">
        <v>159</v>
      </c>
      <c r="I17" s="46" t="s">
        <v>160</v>
      </c>
    </row>
    <row r="18" spans="1:9" ht="21" x14ac:dyDescent="0.4">
      <c r="A18" s="46" t="s">
        <v>70</v>
      </c>
      <c r="B18" s="46" t="s">
        <v>161</v>
      </c>
      <c r="C18" s="46" t="s">
        <v>162</v>
      </c>
      <c r="D18" s="46" t="s">
        <v>163</v>
      </c>
      <c r="E18" s="46" t="s">
        <v>164</v>
      </c>
      <c r="F18" s="46" t="s">
        <v>44</v>
      </c>
      <c r="G18" s="46" t="s">
        <v>165</v>
      </c>
      <c r="H18" s="46" t="s">
        <v>166</v>
      </c>
      <c r="I18" s="46" t="s">
        <v>160</v>
      </c>
    </row>
    <row r="19" spans="1:9" ht="21" x14ac:dyDescent="0.4">
      <c r="A19" s="46" t="s">
        <v>83</v>
      </c>
      <c r="B19" s="46" t="s">
        <v>167</v>
      </c>
      <c r="C19" s="46" t="s">
        <v>168</v>
      </c>
      <c r="D19" s="46" t="s">
        <v>169</v>
      </c>
      <c r="E19" s="46" t="s">
        <v>170</v>
      </c>
      <c r="F19" s="46" t="s">
        <v>44</v>
      </c>
      <c r="G19" s="46" t="s">
        <v>171</v>
      </c>
      <c r="H19" s="46" t="s">
        <v>172</v>
      </c>
      <c r="I19" s="46" t="s">
        <v>160</v>
      </c>
    </row>
    <row r="20" spans="1:9" ht="21" x14ac:dyDescent="0.4">
      <c r="A20" s="46" t="s">
        <v>52</v>
      </c>
      <c r="B20" s="46" t="s">
        <v>173</v>
      </c>
      <c r="C20" s="46" t="s">
        <v>174</v>
      </c>
      <c r="D20" s="46" t="s">
        <v>175</v>
      </c>
      <c r="E20" s="46" t="s">
        <v>176</v>
      </c>
      <c r="F20" s="46" t="s">
        <v>44</v>
      </c>
      <c r="G20" s="46" t="s">
        <v>177</v>
      </c>
      <c r="H20" s="46" t="s">
        <v>172</v>
      </c>
      <c r="I20" s="46" t="s">
        <v>160</v>
      </c>
    </row>
    <row r="21" spans="1:9" ht="21" x14ac:dyDescent="0.4">
      <c r="A21" s="46" t="s">
        <v>45</v>
      </c>
      <c r="B21" s="46" t="s">
        <v>178</v>
      </c>
      <c r="C21" s="46" t="s">
        <v>179</v>
      </c>
      <c r="D21" s="46" t="s">
        <v>73</v>
      </c>
      <c r="E21" s="46" t="s">
        <v>180</v>
      </c>
      <c r="F21" s="46" t="s">
        <v>44</v>
      </c>
      <c r="G21" s="46" t="s">
        <v>181</v>
      </c>
      <c r="H21" s="46" t="s">
        <v>182</v>
      </c>
      <c r="I21" s="46" t="s">
        <v>183</v>
      </c>
    </row>
    <row r="22" spans="1:9" ht="21" x14ac:dyDescent="0.4">
      <c r="A22" s="46" t="s">
        <v>71</v>
      </c>
      <c r="B22" s="46" t="s">
        <v>184</v>
      </c>
      <c r="C22" s="46" t="s">
        <v>185</v>
      </c>
      <c r="D22" s="46" t="s">
        <v>78</v>
      </c>
      <c r="E22" s="46" t="s">
        <v>186</v>
      </c>
      <c r="F22" s="46" t="s">
        <v>44</v>
      </c>
      <c r="G22" s="46" t="s">
        <v>187</v>
      </c>
      <c r="H22" s="46" t="s">
        <v>182</v>
      </c>
      <c r="I22" s="46" t="s">
        <v>183</v>
      </c>
    </row>
    <row r="23" spans="1:9" ht="21" x14ac:dyDescent="0.4">
      <c r="A23" s="46" t="s">
        <v>68</v>
      </c>
      <c r="B23" s="46" t="s">
        <v>188</v>
      </c>
      <c r="C23" s="46" t="s">
        <v>189</v>
      </c>
      <c r="D23" s="46" t="s">
        <v>190</v>
      </c>
      <c r="E23" s="46" t="s">
        <v>191</v>
      </c>
      <c r="F23" s="46" t="s">
        <v>44</v>
      </c>
      <c r="G23" s="46" t="s">
        <v>192</v>
      </c>
      <c r="H23" s="46" t="s">
        <v>193</v>
      </c>
      <c r="I23" s="46" t="s">
        <v>183</v>
      </c>
    </row>
    <row r="24" spans="1:9" ht="21" x14ac:dyDescent="0.4">
      <c r="A24" s="46" t="s">
        <v>60</v>
      </c>
      <c r="B24" s="46" t="s">
        <v>194</v>
      </c>
      <c r="C24" s="46" t="s">
        <v>49</v>
      </c>
      <c r="D24" s="46" t="s">
        <v>61</v>
      </c>
      <c r="E24" s="46" t="s">
        <v>195</v>
      </c>
      <c r="F24" s="46" t="s">
        <v>44</v>
      </c>
      <c r="G24" s="46" t="s">
        <v>196</v>
      </c>
      <c r="H24" s="46" t="s">
        <v>182</v>
      </c>
      <c r="I24" s="46" t="s">
        <v>183</v>
      </c>
    </row>
    <row r="25" spans="1:9" ht="21" x14ac:dyDescent="0.4">
      <c r="A25" s="46" t="s">
        <v>57</v>
      </c>
      <c r="B25" s="46" t="s">
        <v>197</v>
      </c>
      <c r="C25" s="46" t="s">
        <v>198</v>
      </c>
      <c r="D25" s="46" t="s">
        <v>199</v>
      </c>
      <c r="E25" s="46" t="s">
        <v>200</v>
      </c>
      <c r="F25" s="46" t="s">
        <v>44</v>
      </c>
      <c r="G25" s="46" t="s">
        <v>201</v>
      </c>
      <c r="H25" s="46" t="s">
        <v>202</v>
      </c>
      <c r="I25" s="46" t="s">
        <v>203</v>
      </c>
    </row>
    <row r="26" spans="1:9" ht="21" x14ac:dyDescent="0.4">
      <c r="A26" s="46" t="s">
        <v>72</v>
      </c>
      <c r="B26" s="46" t="s">
        <v>204</v>
      </c>
      <c r="C26" s="46" t="s">
        <v>205</v>
      </c>
      <c r="D26" s="46" t="s">
        <v>89</v>
      </c>
      <c r="E26" s="46"/>
      <c r="F26" s="46"/>
      <c r="G26" s="46"/>
      <c r="H26" s="46"/>
      <c r="I26" s="46" t="s">
        <v>203</v>
      </c>
    </row>
    <row r="27" spans="1:9" ht="21" x14ac:dyDescent="0.4">
      <c r="A27" s="46" t="s">
        <v>53</v>
      </c>
      <c r="B27" s="46" t="s">
        <v>206</v>
      </c>
      <c r="C27" s="46" t="s">
        <v>207</v>
      </c>
      <c r="D27" s="46" t="s">
        <v>74</v>
      </c>
      <c r="E27" s="46" t="s">
        <v>208</v>
      </c>
      <c r="F27" s="46" t="s">
        <v>44</v>
      </c>
      <c r="G27" s="46" t="s">
        <v>209</v>
      </c>
      <c r="H27" s="46" t="s">
        <v>166</v>
      </c>
      <c r="I27" s="46" t="s">
        <v>210</v>
      </c>
    </row>
    <row r="28" spans="1:9" ht="21" x14ac:dyDescent="0.4">
      <c r="A28" s="46" t="s">
        <v>56</v>
      </c>
      <c r="B28" s="46" t="s">
        <v>211</v>
      </c>
      <c r="C28" s="46" t="s">
        <v>212</v>
      </c>
      <c r="D28" s="46" t="s">
        <v>117</v>
      </c>
      <c r="E28" s="46" t="s">
        <v>213</v>
      </c>
      <c r="F28" s="46" t="s">
        <v>44</v>
      </c>
      <c r="G28" s="46" t="s">
        <v>214</v>
      </c>
      <c r="H28" s="46" t="s">
        <v>193</v>
      </c>
      <c r="I28" s="46" t="s">
        <v>210</v>
      </c>
    </row>
    <row r="29" spans="1:9" ht="21" x14ac:dyDescent="0.4">
      <c r="A29" s="46" t="s">
        <v>69</v>
      </c>
      <c r="B29" s="46" t="s">
        <v>215</v>
      </c>
      <c r="C29" s="46" t="s">
        <v>216</v>
      </c>
      <c r="D29" s="46" t="s">
        <v>217</v>
      </c>
      <c r="E29" s="46" t="s">
        <v>218</v>
      </c>
      <c r="F29" s="46" t="s">
        <v>44</v>
      </c>
      <c r="G29" s="46" t="s">
        <v>219</v>
      </c>
      <c r="H29" s="46" t="s">
        <v>166</v>
      </c>
      <c r="I29" s="46" t="s">
        <v>210</v>
      </c>
    </row>
    <row r="30" spans="1:9" ht="21" x14ac:dyDescent="0.4">
      <c r="A30" s="46" t="s">
        <v>42</v>
      </c>
      <c r="B30" s="46" t="s">
        <v>220</v>
      </c>
      <c r="C30" s="46" t="s">
        <v>221</v>
      </c>
      <c r="D30" s="46" t="s">
        <v>217</v>
      </c>
      <c r="E30" s="46" t="s">
        <v>222</v>
      </c>
      <c r="F30" s="46" t="s">
        <v>44</v>
      </c>
      <c r="G30" s="46" t="s">
        <v>223</v>
      </c>
      <c r="H30" s="46" t="s">
        <v>166</v>
      </c>
      <c r="I30" s="46" t="s">
        <v>210</v>
      </c>
    </row>
    <row r="31" spans="1:9" ht="21" x14ac:dyDescent="0.4">
      <c r="A31" s="46" t="s">
        <v>46</v>
      </c>
      <c r="B31" s="46" t="s">
        <v>224</v>
      </c>
      <c r="C31" s="46" t="s">
        <v>225</v>
      </c>
      <c r="D31" s="46" t="s">
        <v>226</v>
      </c>
      <c r="E31" s="46" t="s">
        <v>227</v>
      </c>
      <c r="F31" s="46" t="s">
        <v>44</v>
      </c>
      <c r="G31" s="46" t="s">
        <v>228</v>
      </c>
      <c r="H31" s="46" t="s">
        <v>166</v>
      </c>
      <c r="I31" s="46" t="s">
        <v>210</v>
      </c>
    </row>
    <row r="32" spans="1:9" ht="21" x14ac:dyDescent="0.4">
      <c r="A32" s="47" t="s">
        <v>66</v>
      </c>
      <c r="B32" s="47" t="s">
        <v>229</v>
      </c>
      <c r="C32" s="47" t="s">
        <v>230</v>
      </c>
      <c r="D32" s="47" t="s">
        <v>54</v>
      </c>
      <c r="E32" s="47" t="s">
        <v>231</v>
      </c>
      <c r="F32" s="47" t="s">
        <v>44</v>
      </c>
      <c r="G32" s="47" t="s">
        <v>232</v>
      </c>
      <c r="H32" s="47" t="s">
        <v>193</v>
      </c>
      <c r="I32" s="47"/>
    </row>
    <row r="33" spans="1:9" ht="21" x14ac:dyDescent="0.4">
      <c r="A33" s="47" t="s">
        <v>65</v>
      </c>
      <c r="B33" s="47" t="s">
        <v>233</v>
      </c>
      <c r="C33" s="47" t="s">
        <v>234</v>
      </c>
      <c r="D33" s="47" t="s">
        <v>217</v>
      </c>
      <c r="E33" s="47" t="s">
        <v>235</v>
      </c>
      <c r="F33" s="47" t="s">
        <v>44</v>
      </c>
      <c r="G33" s="47" t="s">
        <v>236</v>
      </c>
      <c r="H33" s="47" t="s">
        <v>193</v>
      </c>
      <c r="I33" s="47"/>
    </row>
    <row r="34" spans="1:9" ht="21" x14ac:dyDescent="0.4">
      <c r="A34" s="48" t="s">
        <v>75</v>
      </c>
      <c r="B34" s="48" t="s">
        <v>237</v>
      </c>
      <c r="C34" s="48" t="s">
        <v>238</v>
      </c>
      <c r="D34" s="48" t="s">
        <v>50</v>
      </c>
      <c r="E34" s="48" t="s">
        <v>239</v>
      </c>
      <c r="F34" s="48" t="s">
        <v>44</v>
      </c>
      <c r="G34" s="48" t="s">
        <v>240</v>
      </c>
      <c r="H34" s="48" t="s">
        <v>166</v>
      </c>
      <c r="I34" s="48"/>
    </row>
    <row r="35" spans="1:9" ht="21" x14ac:dyDescent="0.4">
      <c r="A35" s="49" t="s">
        <v>76</v>
      </c>
      <c r="B35" s="49" t="s">
        <v>241</v>
      </c>
      <c r="C35" s="49" t="s">
        <v>242</v>
      </c>
      <c r="D35" s="49" t="s">
        <v>243</v>
      </c>
      <c r="E35" s="49" t="s">
        <v>244</v>
      </c>
      <c r="F35" s="49" t="s">
        <v>44</v>
      </c>
      <c r="G35" s="49" t="s">
        <v>245</v>
      </c>
      <c r="H35" s="49" t="s">
        <v>172</v>
      </c>
      <c r="I35" s="49"/>
    </row>
    <row r="36" spans="1:9" x14ac:dyDescent="0.3">
      <c r="A36" s="42"/>
      <c r="B36" s="42"/>
      <c r="C36" s="42"/>
      <c r="D36" s="42"/>
      <c r="E36" s="42"/>
      <c r="F36" s="42"/>
      <c r="G36" s="43"/>
      <c r="H36" s="43"/>
      <c r="I36" s="44"/>
    </row>
    <row r="37" spans="1:9" x14ac:dyDescent="0.3">
      <c r="G37" s="39" t="s">
        <v>85</v>
      </c>
      <c r="H37" s="39"/>
      <c r="I37" s="40"/>
    </row>
    <row r="38" spans="1:9" x14ac:dyDescent="0.3">
      <c r="G38" s="39" t="s">
        <v>86</v>
      </c>
      <c r="H38" s="39"/>
      <c r="I38" s="40"/>
    </row>
    <row r="39" spans="1:9" x14ac:dyDescent="0.3">
      <c r="G39" s="39"/>
      <c r="H39" s="39"/>
      <c r="I39" s="39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011a54b-0a5d-4929-bf02-a00787877c6a}" enabled="0" method="" siteId="{3011a54b-0a5d-4929-bf02-a00787877c6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Đánh giá</vt:lpstr>
      <vt:lpstr>DS Nhom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ASUS</dc:creator>
  <cp:keywords/>
  <dc:description/>
  <cp:lastModifiedBy>2474802010410 - Lê Thanh Trung - 71K30CNTT03</cp:lastModifiedBy>
  <cp:revision/>
  <dcterms:created xsi:type="dcterms:W3CDTF">2018-03-12T13:08:59Z</dcterms:created>
  <dcterms:modified xsi:type="dcterms:W3CDTF">2025-11-17T12:10:03Z</dcterms:modified>
  <cp:category/>
  <cp:contentStatus/>
</cp:coreProperties>
</file>